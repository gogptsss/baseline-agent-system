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拖入CSV" sheetId="1" state="visible" r:id="rId1"/>
    <sheet xmlns:r="http://schemas.openxmlformats.org/officeDocument/2006/relationships" name="W等级统计" sheetId="2" state="visible" r:id="rId2"/>
    <sheet xmlns:r="http://schemas.openxmlformats.org/officeDocument/2006/relationships" name="分布直方图_数据" sheetId="3" state="visible" r:id="rId3"/>
    <sheet xmlns:r="http://schemas.openxmlformats.org/officeDocument/2006/relationships"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6" customWidth="1" min="4" max="4"/>
    <col width="30" customWidth="1" min="5" max="5"/>
  </cols>
  <sheetData>
    <row r="1">
      <c r="A1" s="1" t="inlineStr">
        <is>
          <t>timestamp</t>
        </is>
      </c>
      <c r="B1" s="1" t="inlineStr">
        <is>
          <t>source</t>
        </is>
      </c>
      <c r="C1" s="1" t="inlineStr">
        <is>
          <t>value</t>
        </is>
      </c>
      <c r="D1" s="1" t="inlineStr">
        <is>
          <t>category</t>
        </is>
      </c>
      <c r="E1" s="1" t="inlineStr">
        <is>
          <t>note</t>
        </is>
      </c>
    </row>
    <row r="2">
      <c r="A2" t="inlineStr">
        <is>
          <t>2026-10-26 10:00</t>
        </is>
      </c>
      <c r="B2" t="inlineStr">
        <is>
          <t>loop_run</t>
        </is>
      </c>
      <c r="C2" t="n">
        <v>78</v>
      </c>
      <c r="D2" t="inlineStr">
        <is>
          <t>Inner</t>
        </is>
      </c>
      <c r="E2" t="inlineStr">
        <is>
          <t>demo</t>
        </is>
      </c>
    </row>
    <row r="3">
      <c r="A3" t="inlineStr">
        <is>
          <t>2026-10-26 10:05</t>
        </is>
      </c>
      <c r="B3" t="inlineStr">
        <is>
          <t>loop_run</t>
        </is>
      </c>
      <c r="C3" t="n">
        <v>82</v>
      </c>
      <c r="D3" t="inlineStr">
        <is>
          <t>Inner</t>
        </is>
      </c>
      <c r="E3" t="inlineStr">
        <is>
          <t>demo</t>
        </is>
      </c>
    </row>
    <row r="4">
      <c r="A4" t="inlineStr">
        <is>
          <t>2026-10-26 10:10</t>
        </is>
      </c>
      <c r="B4" t="inlineStr">
        <is>
          <t>loop_run</t>
        </is>
      </c>
      <c r="C4" t="n">
        <v>95</v>
      </c>
      <c r="D4" t="inlineStr">
        <is>
          <t>Outer</t>
        </is>
      </c>
      <c r="E4" t="inlineStr">
        <is>
          <t>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</cols>
  <sheetData>
    <row r="1">
      <c r="A1" s="2" t="inlineStr">
        <is>
          <t>W等级</t>
        </is>
      </c>
      <c r="B1" s="2" t="inlineStr">
        <is>
          <t>定义</t>
        </is>
      </c>
      <c r="C1" s="2" t="inlineStr">
        <is>
          <t>数量</t>
        </is>
      </c>
      <c r="D1" s="3" t="inlineStr">
        <is>
          <t>占比</t>
        </is>
      </c>
    </row>
    <row r="2">
      <c r="A2" s="4" t="inlineStr">
        <is>
          <t>W1</t>
        </is>
      </c>
      <c r="B2" s="4" t="inlineStr">
        <is>
          <t>&lt;60 需回滚 Return</t>
        </is>
      </c>
      <c r="C2" s="4">
        <f>COUNTIF(RAW_拖入CSV!C2:C1000,"&lt;60")</f>
        <v/>
      </c>
      <c r="D2" s="5">
        <f>IFERROR(C2/SUM($C$2:$C$5),0)</f>
        <v/>
      </c>
    </row>
    <row r="3">
      <c r="A3" s="4" t="inlineStr">
        <is>
          <t>W2</t>
        </is>
      </c>
      <c r="B3" s="4" t="inlineStr">
        <is>
          <t>60-79 可迭代</t>
        </is>
      </c>
      <c r="C3" s="4">
        <f>COUNTIFS(RAW_拖入CSV!C2:C1000,"&gt;=60",RAW_拖入CSV!C2:C1000,"&lt;80")</f>
        <v/>
      </c>
      <c r="D3" s="5">
        <f>IFERROR(C3/SUM($C$2:$C$5),0)</f>
        <v/>
      </c>
    </row>
    <row r="4">
      <c r="A4" s="4" t="inlineStr">
        <is>
          <t>W3</t>
        </is>
      </c>
      <c r="B4" s="4" t="inlineStr">
        <is>
          <t>80-89 达标</t>
        </is>
      </c>
      <c r="C4" s="4">
        <f>COUNTIFS(RAW_拖入CSV!C2:C1000,"&gt;=80",RAW_拖入CSV!C2:C1000,"&lt;90")</f>
        <v/>
      </c>
      <c r="D4" s="5">
        <f>IFERROR(C4/SUM($C$2:$C$5),0)</f>
        <v/>
      </c>
    </row>
    <row r="5">
      <c r="A5" s="4" t="inlineStr">
        <is>
          <t>W4</t>
        </is>
      </c>
      <c r="B5" s="4" t="inlineStr">
        <is>
          <t>90+ 沉淀为Skill</t>
        </is>
      </c>
      <c r="C5" s="4">
        <f>COUNTIF(RAW_拖入CSV!C2:C1000,"&gt;=90")</f>
        <v/>
      </c>
      <c r="D5" s="5">
        <f>IFERROR(C5/SUM($C$2:$C$5),0)</f>
        <v/>
      </c>
    </row>
    <row r="6">
      <c r="A6" s="4" t="inlineStr">
        <is>
          <t>总计</t>
        </is>
      </c>
      <c r="B6" s="4" t="inlineStr"/>
      <c r="C6" s="4">
        <f>SUM(C2:C5)</f>
        <v/>
      </c>
      <c r="D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</cols>
  <sheetData>
    <row r="1">
      <c r="A1" t="inlineStr">
        <is>
          <t>分段</t>
        </is>
      </c>
      <c r="B1" t="inlineStr">
        <is>
          <t>频数</t>
        </is>
      </c>
      <c r="C1" t="inlineStr">
        <is>
          <t>公式说明</t>
        </is>
      </c>
    </row>
    <row r="2">
      <c r="A2" t="inlineStr">
        <is>
          <t>0-59</t>
        </is>
      </c>
      <c r="B2">
        <f>COUNTIFS(RAW_拖入CSV!C2:C1000,"&gt;=0",RAW_拖入CSV!C2:C1000,"&lt;=59")</f>
        <v/>
      </c>
      <c r="C2" t="inlineStr">
        <is>
          <t>拖入CSV后自动计算</t>
        </is>
      </c>
    </row>
    <row r="3">
      <c r="A3" t="inlineStr">
        <is>
          <t>60-69</t>
        </is>
      </c>
      <c r="B3">
        <f>COUNTIFS(RAW_拖入CSV!C2:C1000,"&gt;=60",RAW_拖入CSV!C2:C1000,"&lt;=69")</f>
        <v/>
      </c>
      <c r="C3" t="inlineStr">
        <is>
          <t>拖入CSV后自动计算</t>
        </is>
      </c>
    </row>
    <row r="4">
      <c r="A4" t="inlineStr">
        <is>
          <t>70-79</t>
        </is>
      </c>
      <c r="B4">
        <f>COUNTIFS(RAW_拖入CSV!C2:C1000,"&gt;=70",RAW_拖入CSV!C2:C1000,"&lt;=79")</f>
        <v/>
      </c>
      <c r="C4" t="inlineStr">
        <is>
          <t>拖入CSV后自动计算</t>
        </is>
      </c>
    </row>
    <row r="5">
      <c r="A5" t="inlineStr">
        <is>
          <t>80-89</t>
        </is>
      </c>
      <c r="B5">
        <f>COUNTIFS(RAW_拖入CSV!C2:C1000,"&gt;=80",RAW_拖入CSV!C2:C1000,"&lt;=89")</f>
        <v/>
      </c>
      <c r="C5" t="inlineStr">
        <is>
          <t>拖入CSV后自动计算</t>
        </is>
      </c>
    </row>
    <row r="6">
      <c r="A6" t="inlineStr">
        <is>
          <t>90-100</t>
        </is>
      </c>
      <c r="B6">
        <f>COUNTIFS(RAW_拖入CSV!C2:C1000,"&gt;=90",RAW_拖入CSV!C2:C1000,"&lt;=100")</f>
        <v/>
      </c>
      <c r="C6" t="inlineStr">
        <is>
          <t>拖入CSV后自动计算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BASELINE AGENT SYSTEM - Google Sheets 自动合并模板</t>
        </is>
      </c>
    </row>
    <row r="2">
      <c r="A2" t="inlineStr">
        <is>
          <t>1. 把CSV内容粘贴到 RAW_拖入CSV 的 A:E 列，value在C列</t>
        </is>
      </c>
    </row>
    <row r="3">
      <c r="A3" t="inlineStr">
        <is>
          <t>2. W等级统计 和 分布直方图_数据 会自动用 COUNTIFS 计算</t>
        </is>
      </c>
    </row>
    <row r="4">
      <c r="A4" t="inlineStr">
        <is>
          <t>3. 在Google Sheets中: 选中分布数据 -&gt; 插入 -&gt; 图表 -&gt; 柱形图 即得直方图</t>
        </is>
      </c>
    </row>
    <row r="5">
      <c r="A5" t="inlineStr">
        <is>
          <t>4. 多个CSV合并: 把多个文件内容追加到RAW表即可，公式覆盖1000行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2026-10-26T11:55:11Z</dcterms:created>
  <dcterms:modified xmlns:dcterms="http://purl.org/dc/terms/" xmlns:xsi="http://www.w3.org/2001/XMLSchema-instance" xsi:type="dcterms:W3CDTF">2026-10-26T11:55:11Z</dcterms:modified>
</cp:coreProperties>
</file>